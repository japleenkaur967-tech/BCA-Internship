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20490" windowHeight="7635"/>
  </bookViews>
  <sheets>
    <sheet name="2day(formulas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9" i="1"/>
  <c r="O8" i="1"/>
  <c r="O7" i="1"/>
  <c r="O6" i="1"/>
  <c r="O5" i="1"/>
  <c r="N5" i="1"/>
  <c r="N6" i="1"/>
  <c r="N7" i="1"/>
  <c r="N8" i="1"/>
  <c r="N9" i="1"/>
  <c r="N10" i="1"/>
  <c r="N11" i="1"/>
  <c r="N12" i="1"/>
  <c r="N13" i="1"/>
  <c r="N14" i="1"/>
</calcChain>
</file>

<file path=xl/sharedStrings.xml><?xml version="1.0" encoding="utf-8"?>
<sst xmlns="http://schemas.openxmlformats.org/spreadsheetml/2006/main" count="77" uniqueCount="49">
  <si>
    <t>School_ID</t>
  </si>
  <si>
    <t>School_Name</t>
  </si>
  <si>
    <t>City</t>
  </si>
  <si>
    <t>Board</t>
  </si>
  <si>
    <t>Total_Students</t>
  </si>
  <si>
    <t>Boys</t>
  </si>
  <si>
    <t>Girls</t>
  </si>
  <si>
    <t>Teachers</t>
  </si>
  <si>
    <t>Annual_Fees</t>
  </si>
  <si>
    <t>Pass_Percentage</t>
  </si>
  <si>
    <t>Avg_Marks</t>
  </si>
  <si>
    <t>Transport</t>
  </si>
  <si>
    <t>Smart_Classes</t>
  </si>
  <si>
    <t>PS001</t>
  </si>
  <si>
    <t>Sunrise Public School</t>
  </si>
  <si>
    <t>Jaipur</t>
  </si>
  <si>
    <t>CBSE</t>
  </si>
  <si>
    <t>Yes</t>
  </si>
  <si>
    <t>PS002</t>
  </si>
  <si>
    <t>Green Valley School</t>
  </si>
  <si>
    <t>RBSE</t>
  </si>
  <si>
    <t>No</t>
  </si>
  <si>
    <t>PS003</t>
  </si>
  <si>
    <t>Bright Future Academy</t>
  </si>
  <si>
    <t>Ajmer</t>
  </si>
  <si>
    <t>PS004</t>
  </si>
  <si>
    <t>St. Xavier School</t>
  </si>
  <si>
    <t>Kota</t>
  </si>
  <si>
    <t>ICSE</t>
  </si>
  <si>
    <t>PS005</t>
  </si>
  <si>
    <t>Modern Kids School</t>
  </si>
  <si>
    <t>Udaipur</t>
  </si>
  <si>
    <t>PS006</t>
  </si>
  <si>
    <t>Delhi Public School</t>
  </si>
  <si>
    <t>PS007</t>
  </si>
  <si>
    <t>Scholars Academy</t>
  </si>
  <si>
    <t>Jodhpur</t>
  </si>
  <si>
    <t>PS008</t>
  </si>
  <si>
    <t>Cambridge School</t>
  </si>
  <si>
    <t>Alwar</t>
  </si>
  <si>
    <t>PS009</t>
  </si>
  <si>
    <t>Royal International</t>
  </si>
  <si>
    <t>PS010</t>
  </si>
  <si>
    <t>Knowledge Hub School</t>
  </si>
  <si>
    <t>Bikaner</t>
  </si>
  <si>
    <t>Sum(total marks)</t>
  </si>
  <si>
    <t>COUNTIF</t>
  </si>
  <si>
    <t>SUM, AVERAGE, 
MIN, MAX, COUNT, COUNTA, order 
of operations, parentheses</t>
  </si>
  <si>
    <t>2-DAY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</si>
</sst>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4"/>
  <sheetViews>
    <sheetView tabSelected="1" workbookViewId="0">
      <pane xSplit="1" topLeftCell="B1" activePane="topRight" state="frozen"/>
      <selection activeCell="A3" sqref="A3"/>
      <selection pane="topRight" activeCell="B2" sqref="B2"/>
    </sheetView>
  </sheetViews>
  <sheetFormatPr defaultRowHeight="15" x14ac:dyDescent="0.25"/>
  <cols>
    <col min="1" max="1" width="14.140625" customWidth="1"/>
    <col min="2" max="2" width="15.28515625" customWidth="1"/>
    <col min="3" max="3" width="15.5703125" customWidth="1"/>
    <col min="4" max="4" width="22.7109375" customWidth="1"/>
    <col min="5" max="5" width="16" customWidth="1"/>
    <col min="6" max="6" width="12.85546875" customWidth="1"/>
    <col min="7" max="7" width="12" customWidth="1"/>
    <col min="8" max="8" width="11.5703125" customWidth="1"/>
    <col min="9" max="9" width="14.140625" customWidth="1"/>
    <col min="10" max="10" width="13.7109375" customWidth="1"/>
    <col min="11" max="11" width="12.7109375" customWidth="1"/>
    <col min="12" max="12" width="14.42578125" customWidth="1"/>
    <col min="13" max="13" width="11.42578125" customWidth="1"/>
    <col min="14" max="14" width="20.7109375" customWidth="1"/>
    <col min="15" max="15" width="17.5703125" customWidth="1"/>
  </cols>
  <sheetData>
    <row r="2" spans="1:16" ht="46.5" x14ac:dyDescent="0.3">
      <c r="C2" s="6" t="s">
        <v>48</v>
      </c>
      <c r="D2" s="7" t="s">
        <v>47</v>
      </c>
    </row>
    <row r="4" spans="1:16" ht="3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45</v>
      </c>
      <c r="O4" s="3" t="s">
        <v>46</v>
      </c>
      <c r="P4" s="4"/>
    </row>
    <row r="5" spans="1:16" ht="30" x14ac:dyDescent="0.25">
      <c r="A5" s="5" t="s">
        <v>13</v>
      </c>
      <c r="B5" s="5" t="s">
        <v>14</v>
      </c>
      <c r="C5" s="5" t="s">
        <v>15</v>
      </c>
      <c r="D5" s="5" t="s">
        <v>16</v>
      </c>
      <c r="E5" s="5">
        <v>1200</v>
      </c>
      <c r="F5" s="5">
        <v>650</v>
      </c>
      <c r="G5" s="5">
        <v>550</v>
      </c>
      <c r="H5" s="5">
        <v>45</v>
      </c>
      <c r="I5" s="5">
        <v>85000</v>
      </c>
      <c r="J5" s="5">
        <v>92</v>
      </c>
      <c r="K5" s="5">
        <v>78</v>
      </c>
      <c r="L5" s="5" t="s">
        <v>17</v>
      </c>
      <c r="M5" s="5" t="s">
        <v>17</v>
      </c>
      <c r="N5" s="4">
        <f>SUM(J5:K5)</f>
        <v>170</v>
      </c>
      <c r="O5" s="4">
        <f>COUNTIF(K5:K6,"&gt;75")</f>
        <v>1</v>
      </c>
      <c r="P5" s="4"/>
    </row>
    <row r="6" spans="1:16" ht="30" x14ac:dyDescent="0.25">
      <c r="A6" s="5" t="s">
        <v>18</v>
      </c>
      <c r="B6" s="5" t="s">
        <v>19</v>
      </c>
      <c r="C6" s="5" t="s">
        <v>15</v>
      </c>
      <c r="D6" s="5" t="s">
        <v>20</v>
      </c>
      <c r="E6" s="5">
        <v>950</v>
      </c>
      <c r="F6" s="5">
        <v>500</v>
      </c>
      <c r="G6" s="5">
        <v>450</v>
      </c>
      <c r="H6" s="5">
        <v>38</v>
      </c>
      <c r="I6" s="5">
        <v>60000</v>
      </c>
      <c r="J6" s="5">
        <v>88</v>
      </c>
      <c r="K6" s="5">
        <v>72</v>
      </c>
      <c r="L6" s="5" t="s">
        <v>17</v>
      </c>
      <c r="M6" s="5" t="s">
        <v>21</v>
      </c>
      <c r="N6" s="4">
        <f t="shared" ref="N6:N14" si="0">SUM(J6:K6)</f>
        <v>160</v>
      </c>
      <c r="O6" s="4">
        <f>COUNTIF(K7:K8,"&gt;75")</f>
        <v>2</v>
      </c>
      <c r="P6" s="4"/>
    </row>
    <row r="7" spans="1:16" ht="30" x14ac:dyDescent="0.25">
      <c r="A7" s="5" t="s">
        <v>22</v>
      </c>
      <c r="B7" s="5" t="s">
        <v>23</v>
      </c>
      <c r="C7" s="5" t="s">
        <v>24</v>
      </c>
      <c r="D7" s="5" t="s">
        <v>16</v>
      </c>
      <c r="E7" s="5">
        <v>1500</v>
      </c>
      <c r="F7" s="5">
        <v>800</v>
      </c>
      <c r="G7" s="5">
        <v>700</v>
      </c>
      <c r="H7" s="5">
        <v>55</v>
      </c>
      <c r="I7" s="5">
        <v>95000</v>
      </c>
      <c r="J7" s="5">
        <v>95</v>
      </c>
      <c r="K7" s="5">
        <v>81</v>
      </c>
      <c r="L7" s="5" t="s">
        <v>17</v>
      </c>
      <c r="M7" s="5" t="s">
        <v>17</v>
      </c>
      <c r="N7" s="4">
        <f t="shared" si="0"/>
        <v>176</v>
      </c>
      <c r="O7" s="4">
        <f>COUNTIF(K7:K9,"&gt;70")</f>
        <v>2</v>
      </c>
      <c r="P7" s="4"/>
    </row>
    <row r="8" spans="1:16" ht="30" x14ac:dyDescent="0.25">
      <c r="A8" s="5" t="s">
        <v>25</v>
      </c>
      <c r="B8" s="5" t="s">
        <v>26</v>
      </c>
      <c r="C8" s="5" t="s">
        <v>27</v>
      </c>
      <c r="D8" s="5" t="s">
        <v>28</v>
      </c>
      <c r="E8" s="5">
        <v>1100</v>
      </c>
      <c r="F8" s="5">
        <v>600</v>
      </c>
      <c r="G8" s="5">
        <v>500</v>
      </c>
      <c r="H8" s="5">
        <v>48</v>
      </c>
      <c r="I8" s="5">
        <v>105000</v>
      </c>
      <c r="J8" s="5">
        <v>93</v>
      </c>
      <c r="K8" s="5">
        <v>79</v>
      </c>
      <c r="L8" s="5" t="s">
        <v>21</v>
      </c>
      <c r="M8" s="5" t="s">
        <v>17</v>
      </c>
      <c r="N8" s="4">
        <f t="shared" si="0"/>
        <v>172</v>
      </c>
      <c r="O8" s="4">
        <f>COUNTIF(K8:K10,"&gt;75")</f>
        <v>2</v>
      </c>
      <c r="P8" s="4"/>
    </row>
    <row r="9" spans="1:16" ht="30" x14ac:dyDescent="0.25">
      <c r="A9" s="5" t="s">
        <v>29</v>
      </c>
      <c r="B9" s="5" t="s">
        <v>30</v>
      </c>
      <c r="C9" s="5" t="s">
        <v>31</v>
      </c>
      <c r="D9" s="5" t="s">
        <v>16</v>
      </c>
      <c r="E9" s="5">
        <v>780</v>
      </c>
      <c r="F9" s="5">
        <v>400</v>
      </c>
      <c r="G9" s="5">
        <v>380</v>
      </c>
      <c r="H9" s="5">
        <v>30</v>
      </c>
      <c r="I9" s="5">
        <v>70000</v>
      </c>
      <c r="J9" s="5">
        <v>85</v>
      </c>
      <c r="K9" s="5">
        <v>69</v>
      </c>
      <c r="L9" s="5" t="s">
        <v>17</v>
      </c>
      <c r="M9" s="5" t="s">
        <v>21</v>
      </c>
      <c r="N9" s="4">
        <f t="shared" si="0"/>
        <v>154</v>
      </c>
      <c r="O9" s="4">
        <f>COUNTIF(K9:K14,"&gt;60")</f>
        <v>6</v>
      </c>
      <c r="P9" s="4"/>
    </row>
    <row r="10" spans="1:16" ht="30" x14ac:dyDescent="0.25">
      <c r="A10" s="5" t="s">
        <v>32</v>
      </c>
      <c r="B10" s="5" t="s">
        <v>33</v>
      </c>
      <c r="C10" s="5" t="s">
        <v>15</v>
      </c>
      <c r="D10" s="5" t="s">
        <v>16</v>
      </c>
      <c r="E10" s="5">
        <v>2200</v>
      </c>
      <c r="F10" s="5">
        <v>1200</v>
      </c>
      <c r="G10" s="5">
        <v>1000</v>
      </c>
      <c r="H10" s="5">
        <v>95</v>
      </c>
      <c r="I10" s="5">
        <v>125000</v>
      </c>
      <c r="J10" s="5">
        <v>97</v>
      </c>
      <c r="K10" s="5">
        <v>88</v>
      </c>
      <c r="L10" s="5" t="s">
        <v>17</v>
      </c>
      <c r="M10" s="5" t="s">
        <v>17</v>
      </c>
      <c r="N10" s="4">
        <f t="shared" si="0"/>
        <v>185</v>
      </c>
      <c r="O10" s="4">
        <f t="shared" ref="O10:O14" si="1">COUNTIF(K10:K15,"&gt;60")</f>
        <v>5</v>
      </c>
      <c r="P10" s="4"/>
    </row>
    <row r="11" spans="1:16" ht="30" x14ac:dyDescent="0.25">
      <c r="A11" s="5" t="s">
        <v>34</v>
      </c>
      <c r="B11" s="5" t="s">
        <v>35</v>
      </c>
      <c r="C11" s="5" t="s">
        <v>36</v>
      </c>
      <c r="D11" s="5" t="s">
        <v>20</v>
      </c>
      <c r="E11" s="5">
        <v>890</v>
      </c>
      <c r="F11" s="5">
        <v>470</v>
      </c>
      <c r="G11" s="5">
        <v>420</v>
      </c>
      <c r="H11" s="5">
        <v>34</v>
      </c>
      <c r="I11" s="5">
        <v>55000</v>
      </c>
      <c r="J11" s="5">
        <v>84</v>
      </c>
      <c r="K11" s="5">
        <v>67</v>
      </c>
      <c r="L11" s="5" t="s">
        <v>21</v>
      </c>
      <c r="M11" s="5" t="s">
        <v>21</v>
      </c>
      <c r="N11" s="4">
        <f t="shared" si="0"/>
        <v>151</v>
      </c>
      <c r="O11" s="4">
        <f t="shared" si="1"/>
        <v>4</v>
      </c>
      <c r="P11" s="4"/>
    </row>
    <row r="12" spans="1:16" ht="30" x14ac:dyDescent="0.25">
      <c r="A12" s="5" t="s">
        <v>37</v>
      </c>
      <c r="B12" s="5" t="s">
        <v>38</v>
      </c>
      <c r="C12" s="5" t="s">
        <v>39</v>
      </c>
      <c r="D12" s="5" t="s">
        <v>28</v>
      </c>
      <c r="E12" s="5">
        <v>980</v>
      </c>
      <c r="F12" s="5">
        <v>510</v>
      </c>
      <c r="G12" s="5">
        <v>470</v>
      </c>
      <c r="H12" s="5">
        <v>40</v>
      </c>
      <c r="I12" s="5">
        <v>82000</v>
      </c>
      <c r="J12" s="5">
        <v>91</v>
      </c>
      <c r="K12" s="5">
        <v>75</v>
      </c>
      <c r="L12" s="5" t="s">
        <v>17</v>
      </c>
      <c r="M12" s="5" t="s">
        <v>17</v>
      </c>
      <c r="N12" s="4">
        <f t="shared" si="0"/>
        <v>166</v>
      </c>
      <c r="O12" s="4">
        <f t="shared" si="1"/>
        <v>3</v>
      </c>
      <c r="P12" s="4"/>
    </row>
    <row r="13" spans="1:16" ht="30" x14ac:dyDescent="0.25">
      <c r="A13" s="5" t="s">
        <v>40</v>
      </c>
      <c r="B13" s="5" t="s">
        <v>41</v>
      </c>
      <c r="C13" s="5" t="s">
        <v>15</v>
      </c>
      <c r="D13" s="5" t="s">
        <v>16</v>
      </c>
      <c r="E13" s="5">
        <v>1750</v>
      </c>
      <c r="F13" s="5">
        <v>900</v>
      </c>
      <c r="G13" s="5">
        <v>850</v>
      </c>
      <c r="H13" s="5">
        <v>70</v>
      </c>
      <c r="I13" s="5">
        <v>110000</v>
      </c>
      <c r="J13" s="5">
        <v>96</v>
      </c>
      <c r="K13" s="5">
        <v>84</v>
      </c>
      <c r="L13" s="5" t="s">
        <v>17</v>
      </c>
      <c r="M13" s="5" t="s">
        <v>17</v>
      </c>
      <c r="N13" s="4">
        <f t="shared" si="0"/>
        <v>180</v>
      </c>
      <c r="O13" s="4">
        <f t="shared" si="1"/>
        <v>2</v>
      </c>
      <c r="P13" s="4"/>
    </row>
    <row r="14" spans="1:16" ht="30" x14ac:dyDescent="0.25">
      <c r="A14" s="5" t="s">
        <v>42</v>
      </c>
      <c r="B14" s="5" t="s">
        <v>43</v>
      </c>
      <c r="C14" s="5" t="s">
        <v>44</v>
      </c>
      <c r="D14" s="5" t="s">
        <v>20</v>
      </c>
      <c r="E14" s="5">
        <v>640</v>
      </c>
      <c r="F14" s="5">
        <v>330</v>
      </c>
      <c r="G14" s="5">
        <v>310</v>
      </c>
      <c r="H14" s="5">
        <v>25</v>
      </c>
      <c r="I14" s="5">
        <v>50000</v>
      </c>
      <c r="J14" s="5">
        <v>82</v>
      </c>
      <c r="K14" s="5">
        <v>65</v>
      </c>
      <c r="L14" s="5" t="s">
        <v>21</v>
      </c>
      <c r="M14" s="5" t="s">
        <v>21</v>
      </c>
      <c r="N14" s="4">
        <f t="shared" si="0"/>
        <v>147</v>
      </c>
      <c r="O14" s="4">
        <f t="shared" si="1"/>
        <v>1</v>
      </c>
      <c r="P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2day(formulas)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2026-05-14T12:19:57Z</dcterms:created>
  <dcterms:modified xsi:type="dcterms:W3CDTF">2026-05-18T08:00:00Z</dcterms:modified>
</cp:coreProperties>
</file>